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aytech-my.sharepoint.com/personal/itamar_valdman_playtech_com/Documents/פרטי/AI Projects/Solar Roof/"/>
    </mc:Choice>
  </mc:AlternateContent>
  <xr:revisionPtr revIDLastSave="0" documentId="8_{8B0D8279-319B-483B-A4BF-13BA0272EEA8}" xr6:coauthVersionLast="47" xr6:coauthVersionMax="47" xr10:uidLastSave="{00000000-0000-0000-0000-000000000000}"/>
  <bookViews>
    <workbookView xWindow="28680" yWindow="-120" windowWidth="29040" windowHeight="15720" activeTab="1" xr2:uid="{CD401BA3-6599-4F25-9265-D94F54586502}"/>
  </bookViews>
  <sheets>
    <sheet name="השוואה בסיסית" sheetId="1" r:id="rId1"/>
    <sheet name="צריכה חודשית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  <c r="E14" i="1"/>
  <c r="E12" i="1"/>
  <c r="F12" i="1"/>
  <c r="C14" i="1"/>
  <c r="D14" i="1"/>
  <c r="D10" i="1"/>
  <c r="D11" i="1"/>
  <c r="D13" i="1" s="1"/>
  <c r="C11" i="1"/>
  <c r="E11" i="1" s="1"/>
  <c r="C10" i="1"/>
  <c r="C13" i="1" s="1"/>
</calcChain>
</file>

<file path=xl/sharedStrings.xml><?xml version="1.0" encoding="utf-8"?>
<sst xmlns="http://schemas.openxmlformats.org/spreadsheetml/2006/main" count="30" uniqueCount="24">
  <si>
    <t>קדמה</t>
  </si>
  <si>
    <t>כלמוביל</t>
  </si>
  <si>
    <t>עלות פרגולה</t>
  </si>
  <si>
    <t>תוספת הכנסה שנתית</t>
  </si>
  <si>
    <t>עלות מערכת מרכזית</t>
  </si>
  <si>
    <t>שנים להחזר</t>
  </si>
  <si>
    <t>הכנסה שנתית צפויה</t>
  </si>
  <si>
    <t>עלות כוללת</t>
  </si>
  <si>
    <t>הכנסה שנתית</t>
  </si>
  <si>
    <t>תפוקה שנתית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</si>
  <si>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</si>
  <si>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</si>
  <si>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</si>
  <si>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</si>
  <si>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</si>
  <si>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</si>
  <si>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</si>
  <si>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</si>
  <si>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</si>
  <si>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</si>
  <si>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</si>
  <si>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</si>
  <si>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HWH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</si>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</sst>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9" fontId="0" fillId="0" borderId="0" xfId="2" applyFon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2175B5-9575-4878-BD61-D8D451D0F1D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34b5339-4d3d-4c1c-a95c-77915f3bb1f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D62A-E6FB-4834-96BA-B83A5B4F5851}">
  <dimension ref="B1:F14"/>
  <sheetViews>
    <sheetView workbookViewId="0">
      <selection activeCell="F14" sqref="F14"/>
    </sheetView>
  </sheetViews>
  <sheetFormatPr defaultRowHeight="15" x14ac:dyDescent="0.25"/>
  <cols>
    <col min="2" max="2" width="19.140625" bestFit="1" customWidth="1"/>
    <col min="4" max="4" width="12" bestFit="1" customWidth="1"/>
  </cols>
  <sheetData>
    <row r="1" spans="2:6" x14ac:dyDescent="0.25">
      <c r="C1" t="s">
        <v>0</v>
      </c>
      <c r="D1" t="s">
        <v>1</v>
      </c>
    </row>
    <row r="2" spans="2:6" x14ac:dyDescent="0.25">
      <c r="B2" t="s">
        <v>2</v>
      </c>
      <c r="C2" s="1">
        <v>10529</v>
      </c>
      <c r="D2" s="1">
        <v>5361</v>
      </c>
    </row>
    <row r="3" spans="2:6" x14ac:dyDescent="0.25">
      <c r="B3" t="s">
        <v>3</v>
      </c>
      <c r="C3" s="1">
        <v>2485</v>
      </c>
      <c r="D3" s="1">
        <v>1968</v>
      </c>
    </row>
    <row r="4" spans="2:6" x14ac:dyDescent="0.25">
      <c r="B4" t="s">
        <v>5</v>
      </c>
      <c r="C4">
        <v>4.2</v>
      </c>
      <c r="D4">
        <v>2.7</v>
      </c>
    </row>
    <row r="5" spans="2:6" x14ac:dyDescent="0.25">
      <c r="B5" t="s">
        <v>9</v>
      </c>
      <c r="C5" s="1">
        <v>5177</v>
      </c>
      <c r="D5">
        <v>4100</v>
      </c>
    </row>
    <row r="7" spans="2:6" x14ac:dyDescent="0.25">
      <c r="B7" t="s">
        <v>4</v>
      </c>
      <c r="C7" s="1">
        <v>64971</v>
      </c>
      <c r="D7" s="1">
        <v>58339</v>
      </c>
    </row>
    <row r="8" spans="2:6" x14ac:dyDescent="0.25">
      <c r="B8" t="s">
        <v>6</v>
      </c>
      <c r="C8" s="1">
        <v>10762</v>
      </c>
      <c r="D8" s="1">
        <v>8806</v>
      </c>
    </row>
    <row r="10" spans="2:6" x14ac:dyDescent="0.25">
      <c r="B10" t="s">
        <v>7</v>
      </c>
      <c r="C10" s="1">
        <f>C2+C7</f>
        <v>75500</v>
      </c>
      <c r="D10" s="1">
        <f>D2+D7</f>
        <v>63700</v>
      </c>
    </row>
    <row r="11" spans="2:6" x14ac:dyDescent="0.25">
      <c r="B11" t="s">
        <v>8</v>
      </c>
      <c r="C11" s="1">
        <f>C3+C8</f>
        <v>13247</v>
      </c>
      <c r="D11" s="1">
        <f>D3+D8</f>
        <v>10774</v>
      </c>
      <c r="E11" s="1">
        <f>C11-D11</f>
        <v>2473</v>
      </c>
    </row>
    <row r="12" spans="2:6" x14ac:dyDescent="0.25">
      <c r="B12" t="s">
        <v>9</v>
      </c>
      <c r="C12" s="1">
        <v>20700</v>
      </c>
      <c r="D12" s="1">
        <v>17200</v>
      </c>
      <c r="E12" s="4">
        <f>C11/C12</f>
        <v>0.63995169082125603</v>
      </c>
      <c r="F12" s="4">
        <f>D11/D12</f>
        <v>0.62639534883720926</v>
      </c>
    </row>
    <row r="13" spans="2:6" x14ac:dyDescent="0.25">
      <c r="C13" s="2">
        <f>C11/C10</f>
        <v>0.17545695364238412</v>
      </c>
      <c r="D13" s="2">
        <f>D11/D10</f>
        <v>0.16913657770800627</v>
      </c>
    </row>
    <row r="14" spans="2:6" x14ac:dyDescent="0.25">
      <c r="B14" t="s">
        <v>9</v>
      </c>
      <c r="C14" s="3">
        <f>C5+C12</f>
        <v>25877</v>
      </c>
      <c r="D14" s="3">
        <f>D5+D12</f>
        <v>21300</v>
      </c>
      <c r="E14" s="5">
        <f>D14-C12</f>
        <v>600</v>
      </c>
      <c r="F14" s="6">
        <f>E14*E12</f>
        <v>383.97101449275362</v>
      </c>
    </row>
  </sheetData>
  <pageMargins left="0.7" right="0.7" top="0.75" bottom="0.75" header="0.3" footer="0.3"/>
  <headerFooter>
    <oddFooter>&amp;L_x000D_&amp;1#&amp;"Aptos"&amp;8&amp;K000000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3758-1B3E-4ABE-83A1-B299585B2F0D}">
  <dimension ref="A2:B18"/>
  <sheetViews>
    <sheetView tabSelected="1" workbookViewId="0">
      <selection activeCell="A2" sqref="A2:B18"/>
    </sheetView>
  </sheetViews>
  <sheetFormatPr defaultRowHeight="15" x14ac:dyDescent="0.25"/>
  <sheetData>
    <row r="2" spans="1:2" x14ac:dyDescent="0.25">
      <c r="A2" t="s">
        <v>23</v>
      </c>
      <c r="B2" t="s">
        <v>22</v>
      </c>
    </row>
    <row r="3" spans="1:2" x14ac:dyDescent="0.25">
      <c r="A3" t="s">
        <v>20</v>
      </c>
      <c r="B3">
        <v>733</v>
      </c>
    </row>
    <row r="4" spans="1:2" x14ac:dyDescent="0.25">
      <c r="A4" t="s">
        <v>21</v>
      </c>
      <c r="B4">
        <v>1465</v>
      </c>
    </row>
    <row r="5" spans="1:2" x14ac:dyDescent="0.25">
      <c r="A5" t="s">
        <v>10</v>
      </c>
      <c r="B5">
        <v>1913</v>
      </c>
    </row>
    <row r="6" spans="1:2" x14ac:dyDescent="0.25">
      <c r="A6" t="s">
        <v>11</v>
      </c>
      <c r="B6">
        <v>2160</v>
      </c>
    </row>
    <row r="7" spans="1:2" x14ac:dyDescent="0.25">
      <c r="A7" t="s">
        <v>12</v>
      </c>
      <c r="B7">
        <v>874</v>
      </c>
    </row>
    <row r="8" spans="1:2" x14ac:dyDescent="0.25">
      <c r="A8" t="s">
        <v>13</v>
      </c>
      <c r="B8">
        <v>486</v>
      </c>
    </row>
    <row r="9" spans="1:2" x14ac:dyDescent="0.25">
      <c r="A9" t="s">
        <v>14</v>
      </c>
      <c r="B9">
        <v>475</v>
      </c>
    </row>
    <row r="10" spans="1:2" x14ac:dyDescent="0.25">
      <c r="A10" t="s">
        <v>15</v>
      </c>
      <c r="B10">
        <v>839</v>
      </c>
    </row>
    <row r="11" spans="1:2" x14ac:dyDescent="0.25">
      <c r="A11" t="s">
        <v>16</v>
      </c>
      <c r="B11">
        <v>684</v>
      </c>
    </row>
    <row r="12" spans="1:2" x14ac:dyDescent="0.25">
      <c r="A12" t="s">
        <v>17</v>
      </c>
      <c r="B12">
        <v>314</v>
      </c>
    </row>
    <row r="13" spans="1:2" x14ac:dyDescent="0.25">
      <c r="A13" t="s">
        <v>18</v>
      </c>
      <c r="B13">
        <v>739</v>
      </c>
    </row>
    <row r="14" spans="1:2" x14ac:dyDescent="0.25">
      <c r="A14" t="s">
        <v>19</v>
      </c>
      <c r="B14">
        <v>416</v>
      </c>
    </row>
    <row r="15" spans="1:2" x14ac:dyDescent="0.25">
      <c r="A15" t="s">
        <v>20</v>
      </c>
      <c r="B15">
        <v>506</v>
      </c>
    </row>
    <row r="16" spans="1:2" x14ac:dyDescent="0.25">
      <c r="A16" t="s">
        <v>21</v>
      </c>
      <c r="B16">
        <v>1244</v>
      </c>
    </row>
    <row r="17" spans="1:2" x14ac:dyDescent="0.25">
      <c r="A17" t="s">
        <v>10</v>
      </c>
      <c r="B17">
        <v>2137</v>
      </c>
    </row>
    <row r="18" spans="1:2" x14ac:dyDescent="0.25">
      <c r="A18" t="s">
        <v>11</v>
      </c>
      <c r="B18">
        <v>1444</v>
      </c>
    </row>
  </sheetData>
  <phoneticPr fontId="2" type="noConversion"/>
  <pageMargins left="0.7" right="0.7" top="0.75" bottom="0.75" header="0.3" footer="0.3"/>
  <headerFooter>
    <oddFooter>&amp;L_x000D_&amp;1#&amp;"Aptos"&amp;8&amp;K000000 Sensitivity: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השוואה בסיסית</vt:lpstr>
      <vt:lpstr>צריכה חודשית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Itamar Valdman</dc:creator>
  <cp:lastModifiedBy>Itamar Valdman</cp:lastModifiedBy>
  <dcterms:created xsi:type="dcterms:W3CDTF">2026-04-27T15:30:53Z</dcterms:created>
  <dcterms:modified xsi:type="dcterms:W3CDTF">2026-04-29T17:27:31Z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cd77f9-c127-4203-883e-f7a13c018ab9_Enabled">
    <vt:lpwstr>true</vt:lpwstr>
  </property>
  <property fmtid="{D5CDD505-2E9C-101B-9397-08002B2CF9AE}" pid="3" name="MSIP_Label_31cd77f9-c127-4203-883e-f7a13c018ab9_SetDate">
    <vt:lpwstr>2026-04-29T17:27:00Z</vt:lpwstr>
  </property>
  <property fmtid="{D5CDD505-2E9C-101B-9397-08002B2CF9AE}" pid="4" name="MSIP_Label_31cd77f9-c127-4203-883e-f7a13c018ab9_Method">
    <vt:lpwstr>Standard</vt:lpwstr>
  </property>
  <property fmtid="{D5CDD505-2E9C-101B-9397-08002B2CF9AE}" pid="5" name="MSIP_Label_31cd77f9-c127-4203-883e-f7a13c018ab9_Name">
    <vt:lpwstr>31cd77f9-c127-4203-883e-f7a13c018ab9</vt:lpwstr>
  </property>
  <property fmtid="{D5CDD505-2E9C-101B-9397-08002B2CF9AE}" pid="6" name="MSIP_Label_31cd77f9-c127-4203-883e-f7a13c018ab9_SiteId">
    <vt:lpwstr>4f7d16ef-7616-46a7-9866-fc17a74d8500</vt:lpwstr>
  </property>
  <property fmtid="{D5CDD505-2E9C-101B-9397-08002B2CF9AE}" pid="7" name="MSIP_Label_31cd77f9-c127-4203-883e-f7a13c018ab9_ActionId">
    <vt:lpwstr>08471ffb-f0ce-406f-9598-2617ea3d2c21</vt:lpwstr>
  </property>
  <property fmtid="{D5CDD505-2E9C-101B-9397-08002B2CF9AE}" pid="8" name="MSIP_Label_31cd77f9-c127-4203-883e-f7a13c018ab9_ContentBits">
    <vt:lpwstr>2</vt:lpwstr>
  </property>
  <property fmtid="{D5CDD505-2E9C-101B-9397-08002B2CF9AE}" pid="9" name="MSIP_Label_31cd77f9-c127-4203-883e-f7a13c018ab9_Tag">
    <vt:lpwstr>10, 3, 0, 1</vt:lpwstr>
  </property>
</Properties>
</file>